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ata365-my.sharepoint.com/personal/nitin_bandgar_tata_com/Documents/Desktop/Tokenomics/"/>
    </mc:Choice>
  </mc:AlternateContent>
  <xr:revisionPtr revIDLastSave="20" documentId="11_4CA0D292F4F4469B6C6C27D5E0010125B1540CEE" xr6:coauthVersionLast="47" xr6:coauthVersionMax="47" xr10:uidLastSave="{7A51B729-9E0D-4979-AC24-A418E590349B}"/>
  <bookViews>
    <workbookView xWindow="-110" yWindow="-110" windowWidth="19420" windowHeight="11500" activeTab="1" xr2:uid="{00000000-000D-0000-FFFF-FFFF00000000}"/>
  </bookViews>
  <sheets>
    <sheet name="How to read this" sheetId="1" r:id="rId1"/>
    <sheet name="Supply model" sheetId="2" r:id="rId2"/>
    <sheet name="Demand model" sheetId="3" r:id="rId3"/>
    <sheet name="Trajectory" sheetId="4" r:id="rId4"/>
    <sheet name="Strategy matrix" sheetId="5" r:id="rId5"/>
    <sheet name="Method &amp; sources"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4" l="1"/>
  <c r="B11" i="4"/>
  <c r="H12" i="4"/>
  <c r="I11" i="4"/>
  <c r="H11" i="4"/>
  <c r="I9" i="4"/>
  <c r="I8" i="4"/>
  <c r="I7" i="4"/>
  <c r="I6" i="4"/>
  <c r="I5" i="4"/>
  <c r="H9" i="4"/>
  <c r="H8" i="4"/>
  <c r="H7" i="4"/>
  <c r="H6" i="4"/>
  <c r="H5" i="4"/>
  <c r="F11" i="4"/>
  <c r="E11" i="4"/>
  <c r="D11" i="4"/>
  <c r="E11" i="3"/>
  <c r="D10" i="3"/>
  <c r="D12" i="3" s="1"/>
  <c r="C10" i="3"/>
  <c r="C12" i="3" s="1"/>
  <c r="B10" i="3"/>
  <c r="B12" i="3" s="1"/>
  <c r="E9" i="3"/>
  <c r="E8" i="3"/>
  <c r="E7" i="3"/>
  <c r="E6" i="3"/>
  <c r="F5" i="3"/>
  <c r="F6" i="3" s="1"/>
  <c r="F7" i="3" s="1"/>
  <c r="F8" i="3" s="1"/>
  <c r="F9" i="3" s="1"/>
  <c r="F11" i="3" s="1"/>
  <c r="E5" i="3"/>
  <c r="C14" i="2"/>
  <c r="F12" i="2"/>
  <c r="E12" i="2"/>
  <c r="D12" i="2"/>
  <c r="C12" i="2"/>
  <c r="B12" i="2"/>
  <c r="E11" i="2"/>
  <c r="E10" i="2"/>
  <c r="E9" i="2"/>
  <c r="E8" i="2"/>
  <c r="E7" i="2"/>
  <c r="F6" i="2"/>
  <c r="F7" i="2" s="1"/>
  <c r="F8" i="2" s="1"/>
  <c r="F9" i="2" s="1"/>
  <c r="F10" i="2" s="1"/>
  <c r="F11" i="2" s="1"/>
  <c r="E6" i="2"/>
  <c r="F5" i="2"/>
  <c r="E5" i="2"/>
</calcChain>
</file>

<file path=xl/sharedStrings.xml><?xml version="1.0" encoding="utf-8"?>
<sst xmlns="http://schemas.openxmlformats.org/spreadsheetml/2006/main" count="152" uniqueCount="130">
  <si>
    <t>How this model works — in six steps</t>
  </si>
  <si>
    <t>Read this before defending any number in the room.</t>
  </si>
  <si>
    <t>1. One number per force</t>
  </si>
  <si>
    <t>In the amber column each driver carries a single factor: how much it divides cost (supply) or multiplies volume (demand) over the four years 2026 to 2030. 'Accelerators 3.00' means silicon alone makes a token three times cheaper.</t>
  </si>
  <si>
    <t>2. Multiply, don't add</t>
  </si>
  <si>
    <t>3. Convert to shares with LN</t>
  </si>
  <si>
    <t>4. Shares sum to 100%</t>
  </si>
  <si>
    <t>Guaranteed by the mathematics, not by adjustment. And the answer does not depend on the order the forces are listed in.</t>
  </si>
  <si>
    <t>5. Cumulative column</t>
  </si>
  <si>
    <t>Walks the index down (or up) one force at a time. This is exactly what the waterfall charts in the report draw.</t>
  </si>
  <si>
    <t>6. Scenario sheet</t>
  </si>
  <si>
    <t>Stresses the TOTAL movement rather than each driver, then divides demand by price to produce the nine-cell spend matrix.</t>
  </si>
  <si>
    <t>WHY LOGARITHMS — the only clever bit</t>
  </si>
  <si>
    <t>Suppose Force A halves cost (divide by 2) and Force B quarters it (divide by 4). Together they make a token 8x cheaper.</t>
  </si>
  <si>
    <t>Naive attribution: A 'saved 50%', B 'saved 75%'. That totals 125% — nonsense.</t>
  </si>
  <si>
    <t>With logs: LN(2)=0.69, LN(4)=1.39, LN(8)=2.08.  So A = 0.69/2.08 = 33% and B = 1.39/2.08 = 67%. Sums to 100%.</t>
  </si>
  <si>
    <t>Crucially the answer is the same whichever force you apply first. Without logs, whoever you list first looks biggest.</t>
  </si>
  <si>
    <t>HOW TO DEFEND IT</t>
  </si>
  <si>
    <t>The TOTALS are anchored to published forecasts. The individual SPLITS are calibrated judgement. There is no citation for '2.80 model architecture' — nobody publishes that number.</t>
  </si>
  <si>
    <t>If challenged on a single driver: 'The total is independently corroborated by Gartner. The split is my transparent allocation — tell me what you think this driver should be and we will see whether it changes the conclusion.' Then change the amber cell live.</t>
  </si>
  <si>
    <t>It almost never flips the conclusion, because spend still rises in 8 of the 9 scenarios. That robustness is the argument — not any single input.</t>
  </si>
  <si>
    <t>The demand side is weaker than the supply side: three of six drivers are pure judgement (use-case breadth, adoption depth, multimodality). Concede that ground early and fall back on the scenario matrix.</t>
  </si>
  <si>
    <t>CONFIDENCE KEY</t>
  </si>
  <si>
    <t>High</t>
  </si>
  <si>
    <t>Directly measured or arithmetically derived from published specifications.</t>
  </si>
  <si>
    <t>Medium-high</t>
  </si>
  <si>
    <t>Published anchor, conservatively discounted by us.</t>
  </si>
  <si>
    <t>Medium</t>
  </si>
  <si>
    <t>Sourced multiplier combined with our own assumption (usually an adoption share).</t>
  </si>
  <si>
    <t>Low</t>
  </si>
  <si>
    <t>Judgement-based. No direct source. Challenge these first.</t>
  </si>
  <si>
    <t>Supply side — what makes a token cheaper by 2030</t>
  </si>
  <si>
    <t>Amber cells are inputs: change any driver and every output below recomputes. Each driver is the cumulative factor by which it divides cost per token, 2026→2030.</t>
  </si>
  <si>
    <t>Force / driver</t>
  </si>
  <si>
    <t>Low estimate</t>
  </si>
  <si>
    <t>BASE</t>
  </si>
  <si>
    <t>High estimate</t>
  </si>
  <si>
    <t>Contribution</t>
  </si>
  <si>
    <t>Cum. price index</t>
  </si>
  <si>
    <t>What it is</t>
  </si>
  <si>
    <t>Source / basis</t>
  </si>
  <si>
    <t>Confidence</t>
  </si>
  <si>
    <t>Accelerator price-performance</t>
  </si>
  <si>
    <t>Rubin-class GPUs and inference ASICs: more tokens/sec per dollar of silicon</t>
  </si>
  <si>
    <t>NVIDIA claims ~10x cost/token for Rubin vs Blackwell B200; historical 4-15x per GPU generation. DELIBERATELY CONSERVATIVE: software and numerics gains are counted separately below, leaving ~1.7x per generation x ~2 generations to 2030.</t>
  </si>
  <si>
    <t>Model architecture efficiency</t>
  </si>
  <si>
    <t>MoE sparsity, distillation, SLM routing: fewer active parameters per unit quality</t>
  </si>
  <si>
    <t>NVIDIA Research arXiv 2506.02153: 7B SLMs are 10-30x cheaper than 70-175B models on routine agentic steps. Gartner: task-specific small models used 3x more than LLMs by 2027. Multiplier is sourced; the ~30-40% volume-shift assumption is ours.</t>
  </si>
  <si>
    <t>Serving software</t>
  </si>
  <si>
    <t>Continuous batching, speculative decoding, disaggregated prefill/decode, prefix reuse</t>
  </si>
  <si>
    <t>Continuous batching (vLLM, arXiv 2309.06180) already delivers ~85% and is ALREADY IN 2026 PRICES. Remaining upside is speculative decoding maturity, disaggregated prefill/decode and prefix reuse. Deliberately modest.</t>
  </si>
  <si>
    <t>Numerics &amp; quantisation</t>
  </si>
  <si>
    <t>FP8 → FP4 and below: fewer bytes moved per parameter per token</t>
  </si>
  <si>
    <t>Precision arithmetic: FP16-&gt;FP8-&gt;FP4 halves bytes moved at each step; AWQ 4-bit shows &gt;3x vs FP16 (arXiv 2306.00978); Blackwell is FP4-native. Theoretical ~2x remaining, discounted to 1.5x for accuracy-preservation overhead.</t>
  </si>
  <si>
    <t>Margin &amp; market structure</t>
  </si>
  <si>
    <t>Open-weight competition compresses the markup of price over cost</t>
  </si>
  <si>
    <t>DeepSeek V4 priced ~97% below frontier; matched tiers observed collapsing to hosting economics within weeks. WEAKEST SOURCING - vendor margins are not disclosed, so this is inferred from observed price behaviour.</t>
  </si>
  <si>
    <t>Capex amortisation &amp; utilisation</t>
  </si>
  <si>
    <t>Higher fleet utilisation, longer useful life, cloud price competition</t>
  </si>
  <si>
    <t>MFU spans 21-56% across published campaigns (GPT-3 on V100 to TPU v4). Anthropic inference gross margin moved from &lt;40% to &gt;70% within a year, evidencing large real utilisation gains. Hyperscalers have extended server depreciation to 5-6 years.</t>
  </si>
  <si>
    <t>Energy &amp; datacentre</t>
  </si>
  <si>
    <t>PPAs, nuclear supply, better PUE — net of power scarcity and HBM cost inflation</t>
  </si>
  <si>
    <t>PUE 1.2-1.4 industry average (Uptime Institute); nuclear PPAs (Three Mile Island 835MW, Susquehanna 1.92GW) lock long-run supply. NEAR-NEUTRAL BY DESIGN: efficiency gains are offset by grid scarcity and HBM prices +20%.</t>
  </si>
  <si>
    <t>TOTAL — price falls by</t>
  </si>
  <si>
    <t>Price index for constant capability, 2026 = 100</t>
  </si>
  <si>
    <t>% cheaper by 2030</t>
  </si>
  <si>
    <t>CALIBRATION CHECK: the product (34.6x = 97.1% cheaper) is corroborated independently by Gartner, which projects &gt;90% lower trillion-parameter inference cost for providers in 2030 vs 2025. Different method, same ballpark.</t>
  </si>
  <si>
    <t>Method: forces are multiplicative, so contribution shares are computed in log space (ln of each factor ÷ ln of the product). Shares therefore sum to exactly 100%.</t>
  </si>
  <si>
    <t>CAUTION: the Low and High columns are per-driver ranges. Multiplying a whole column (7.4x / 108x) assumes every driver hits its extreme at once — perfect correlation, which is not credible. Use the coherent scenarios on the 'Scenario matrix' sheet (10x / 35x / 100x) for any external argument.</t>
  </si>
  <si>
    <t>Demand side — what makes token volume larger by 2030</t>
  </si>
  <si>
    <t>Amber cells are inputs. CALIBRATED to Goldman Sachs Research: token consumption ×24 to 120 quadrillion tokens/month, 2026–2030 (published 20 May 2026).</t>
  </si>
  <si>
    <t>Cum. volume index</t>
  </si>
  <si>
    <t>What it measures</t>
  </si>
  <si>
    <t>Workload penetration</t>
  </si>
  <si>
    <t>Share of business tasks that run on a model at all.</t>
  </si>
  <si>
    <t>Share of business tasks that run on a model at all. Absorbs what were previously separate 'use-case breadth' and 'adoption depth' terms - they measure the same thing. Anchored to Goldman's forecast that only 12% of knowledge workers use agentic AI by 2030 (37% by 2040) - a long adoption tail.</t>
  </si>
  <si>
    <t>Agentic task structure</t>
  </si>
  <si>
    <t>Tokens per task once a task is agentic: multi-step loops re-sending accumulated context.</t>
  </si>
  <si>
    <t>Tokens per task once a task is agentic: multi-step loops re-sending accumulated context. Gartner measures 5-30x per task; this is the blended mix effect across all traffic, not the per-task figure.</t>
  </si>
  <si>
    <t>Reasoning tokens</t>
  </si>
  <si>
    <t>Hidden chain-of-thought billed per call.</t>
  </si>
  <si>
    <t>Hidden chain-of-thought billed per call. Discounted because Goldman's simulated use-case token counts already embed some reasoning overhead.</t>
  </si>
  <si>
    <t>Multimodality</t>
  </si>
  <si>
    <t>Image, audio and video tokens per interaction.</t>
  </si>
  <si>
    <t>Context growth per call</t>
  </si>
  <si>
    <t>Longer windows, richer retrieval, larger tool payloads.</t>
  </si>
  <si>
    <t>GROSS demand growth</t>
  </si>
  <si>
    <t>Efficiency &amp; optimisation drag</t>
  </si>
  <si>
    <t>The only force that removes billable tokens.</t>
  </si>
  <si>
    <t>Caching, routing to small models, context compression, distillation. The only force that removes billable tokens - and the only one an individual enterprise controls.</t>
  </si>
  <si>
    <t>NET billable demand growth</t>
  </si>
  <si>
    <t>CALIBRATION: base case nets to 23.8× against Goldman Sachs' published 24×. Goldman built theirs bottom-up from simulated use cases (online travel, call centres) and assumes only 12% of knowledge workers use agentic AI by 2030 — a long adoption tail.</t>
  </si>
  <si>
    <t>WHY AN EARLIER VERSION OF THIS MODEL OVERSHOT (146× gross): it used three separate adoption terms — agentic shift, use-case breadth and adoption depth — and multiplied them. Those are not independent; they are three descriptions of the same adoption phenomenon, so multiplying triple-counted it. Supply-side drivers ARE independent (a chip gain and a quantisation gain compound cleanly); demand-side adoption terms are not. Fixed by using ONE penetration term plus per-task intensity terms.</t>
  </si>
  <si>
    <t>SCOPE NOTE: Goldman's 24× is consumer + enterprise blended. They state consumer alone is 12×, which implies the enterprise component grows faster than 24×. Our report is enterprise-focused, so 24× is a conservative anchor for this audience.</t>
  </si>
  <si>
    <t>Trajectory 2026–2030</t>
  </si>
  <si>
    <t>Two spend lines: identical volume growth, different capability strategy.</t>
  </si>
  <si>
    <t>Year</t>
  </si>
  <si>
    <t>Price (constant cap.)</t>
  </si>
  <si>
    <t>Price (blended)</t>
  </si>
  <si>
    <t>Volume</t>
  </si>
  <si>
    <t>Spend — hold fixed</t>
  </si>
  <si>
    <t>Spend — up-tier</t>
  </si>
  <si>
    <t>2030 vs 2026</t>
  </si>
  <si>
    <t>2030 spend vs 2026 — capability strategy decides the outcome</t>
  </si>
  <si>
    <t>Spend multiple = demand multiple ÷ the price decline you actually capture. ROWS ARE YOUR CHOICE; columns are the market.</t>
  </si>
  <si>
    <t>Capability strategy ↓ / Demand →</t>
  </si>
  <si>
    <t>Muted
demand ×7</t>
  </si>
  <si>
    <t>Base (Goldman)
demand ×24</t>
  </si>
  <si>
    <t>High
demand ×53</t>
  </si>
  <si>
    <t>Hold capability fixed — price captured ÷35</t>
  </si>
  <si>
    <t>Partial up-tier — price captured ÷15</t>
  </si>
  <si>
    <t>Track the frontier — price captured ÷7</t>
  </si>
  <si>
    <t>READ: with the same 24× demand growth, spend falls 31% if you hold capability fixed and triples if you keep buying up-tier. That is a management decision, not a market outcome.</t>
  </si>
  <si>
    <t>Method, and how to defend it</t>
  </si>
  <si>
    <t>Why multiplicative</t>
  </si>
  <si>
    <t>Cost per token is a product of independent efficiency terms (silicon, numerics, architecture, software, utilisation, margin). Improvements compound rather than add, so the model multiplies them.</t>
  </si>
  <si>
    <t>Why log-space attribution</t>
  </si>
  <si>
    <t>Because forces multiply, a naive 'share of the dollar fall' double-counts interactions and depends on the order you apply them. Taking ln of each factor over ln of the product makes contributions order-independent and exactly additive to 100%.</t>
  </si>
  <si>
    <t>Why scenarios use a shared shock</t>
  </si>
  <si>
    <t>Setting every driver to its own extreme simultaneously implies perfect correlation and produces absurd ranges. Instead a single shock multiplier scales the TOTAL log movement (0.65× / 1.0× / 1.30× on the supply side), which keeps scenarios coherent.</t>
  </si>
  <si>
    <t>Two price lines</t>
  </si>
  <si>
    <t>'Constant capability' tracks a fixed quality level and falls fastest — the LLMflation basis. 'Blended realised' reflects enterprises buying up-tier as capability improves, and is modelled at ~55% of the log decline. Your bill follows the blended line, not the headline.</t>
  </si>
  <si>
    <t>Biggest challenge to expect</t>
  </si>
  <si>
    <t>'Your architecture and silicon terms overlap.' They do not: silicon is measured as tokens/sec per dollar of hardware; architecture is active parameters per unit of quality. Same token, different denominators.</t>
  </si>
  <si>
    <t>Key sources</t>
  </si>
  <si>
    <t>a16z LLMflation; Epoch AI inference economics (arXiv 2506.04645); Gartner 2030 inference-cost and agentic-consumption forecasts; NVIDIA Rubin and Blackwell cost-per-token disclosures; TrendForce ASIC share; SK Hynix / SemiAnalysis HBM4; NVIDIA Research SLM economics (arXiv 2506.02153); FinOps Foundation 2026.</t>
  </si>
  <si>
    <t>CORRECTION LOG — August 2026</t>
  </si>
  <si>
    <t>An earlier draft cited '120× token growth by 2030' attributed to Gartner. Both were wrong. The primary source is GOLDMAN SACHS RESEARCH, 'AI Agents Forecast to Boost Tech Cash Flow as Usage Soars', 20 May 2026 (Jim Schneider), which forecasts token consumption multiplying 24× TO 120 QUADRILLION TOKENS PER MONTH between 2026 and 2030. The '120' is the absolute monthly volume, not the multiplier. The demand model has been recalibrated to 24× and the attribution corrected.</t>
  </si>
  <si>
    <t>SUPPLY-SIDE CORROBORATION</t>
  </si>
  <si>
    <t>The same Goldman article states semiconductor providers are delivering 60–70% lower cost per token per year for inference. Compounded over 2026–2030 that implies a 39×–123× decline. Our supply model's 34.6× sits below that range, i.e. it is conservative against a second independent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</si>
</sst>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quot;×&quot;"/>
    <numFmt numFmtId="166" formatCode="0&quot;×&quot;"/>
    <numFmt numFmtId="167" formatCode="0.00&quot;×&quot;"/>
    <numFmt numFmtId="169" formatCode="0.0"/>
  </numFmts>
  <fonts count="15" x14ac:knownFonts="1">
    <font>
      <sz val="11"/>
      <color theme="1"/>
      <name val="Calibri"/>
      <family val="2"/>
      <scheme val="minor"/>
    </font>
    <font>
      <b/>
      <sz val="14"/>
      <color rgb="FF0D2158"/>
      <name val="Calibri"/>
    </font>
    <font>
      <i/>
      <sz val="9.5"/>
      <color rgb="FF6B7280"/>
      <name val="Calibri"/>
    </font>
    <font>
      <b/>
      <sz val="11"/>
      <color rgb="FFFFFFFF"/>
      <name val="Calibri"/>
    </font>
    <font>
      <b/>
      <sz val="10.5"/>
      <name val="Calibri"/>
    </font>
    <font>
      <sz val="10.5"/>
      <name val="Calibri"/>
    </font>
    <font>
      <b/>
      <sz val="10.5"/>
      <color rgb="FF9C5700"/>
      <name val="Calibri"/>
    </font>
    <font>
      <b/>
      <sz val="11"/>
      <color rgb="FF0D2158"/>
      <name val="Calibri"/>
    </font>
    <font>
      <b/>
      <sz val="12"/>
      <color rgb="FF0D2158"/>
      <name val="Calibri"/>
    </font>
    <font>
      <b/>
      <sz val="12"/>
      <color rgb="FF1A1A1A"/>
      <name val="Calibri"/>
    </font>
    <font>
      <b/>
      <sz val="10"/>
      <name val="Calibri"/>
    </font>
    <font>
      <b/>
      <sz val="10"/>
      <color rgb="FF0D2158"/>
      <name val="Calibri"/>
    </font>
    <font>
      <b/>
      <sz val="15"/>
      <color rgb="FF0D2158"/>
      <name val="Calibri"/>
    </font>
    <font>
      <b/>
      <sz val="12"/>
      <color rgb="FF0B8457"/>
      <name val="Calibri"/>
    </font>
    <font>
      <b/>
      <sz val="12"/>
      <color rgb="FFC24A4A"/>
      <name val="Calibri"/>
    </font>
  </fonts>
  <fills count="9">
    <fill>
      <patternFill patternType="none"/>
    </fill>
    <fill>
      <patternFill patternType="gray125"/>
    </fill>
    <fill>
      <patternFill patternType="solid">
        <fgColor rgb="FF0D2158"/>
      </patternFill>
    </fill>
    <fill>
      <patternFill patternType="solid">
        <fgColor rgb="FFFFF4D6"/>
      </patternFill>
    </fill>
    <fill>
      <patternFill patternType="solid">
        <fgColor rgb="FFEAF3FA"/>
      </patternFill>
    </fill>
    <fill>
      <patternFill patternType="solid">
        <fgColor rgb="FFFFF2CC"/>
      </patternFill>
    </fill>
    <fill>
      <patternFill patternType="solid">
        <fgColor rgb="FFDDEBF7"/>
      </patternFill>
    </fill>
    <fill>
      <patternFill patternType="solid">
        <fgColor rgb="FFFCE4D6"/>
      </patternFill>
    </fill>
    <fill>
      <patternFill patternType="solid">
        <fgColor rgb="FFC6EFCE"/>
      </patternFill>
    </fill>
  </fills>
  <borders count="2">
    <border>
      <left/>
      <right/>
      <top/>
      <bottom/>
      <diagonal/>
    </border>
    <border>
      <left style="thin">
        <color rgb="FFD9DEE5"/>
      </left>
      <right style="thin">
        <color rgb="FFD9DEE5"/>
      </right>
      <top style="thin">
        <color rgb="FFD9DEE5"/>
      </top>
      <bottom style="thin">
        <color rgb="FFD9DEE5"/>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xf numFmtId="2" fontId="5" fillId="0" borderId="1" xfId="0" applyNumberFormat="1" applyFont="1" applyBorder="1"/>
    <xf numFmtId="0" fontId="6" fillId="3" borderId="1" xfId="0" applyFont="1" applyFill="1" applyBorder="1"/>
    <xf numFmtId="164" fontId="5" fillId="0" borderId="1" xfId="0" applyNumberFormat="1" applyFont="1" applyBorder="1"/>
    <xf numFmtId="0" fontId="5" fillId="0" borderId="1" xfId="0" applyFont="1" applyBorder="1"/>
    <xf numFmtId="0" fontId="7" fillId="4" borderId="1" xfId="0" applyFont="1" applyFill="1" applyBorder="1"/>
    <xf numFmtId="165" fontId="7" fillId="4" borderId="1" xfId="0" applyNumberFormat="1" applyFont="1" applyFill="1" applyBorder="1"/>
    <xf numFmtId="164" fontId="4" fillId="4" borderId="1" xfId="0" applyNumberFormat="1" applyFont="1" applyFill="1" applyBorder="1"/>
    <xf numFmtId="2" fontId="4" fillId="4" borderId="1" xfId="0" applyNumberFormat="1" applyFont="1" applyFill="1" applyBorder="1"/>
    <xf numFmtId="0" fontId="4" fillId="0" borderId="0" xfId="0" applyFont="1"/>
    <xf numFmtId="164" fontId="8" fillId="0" borderId="0" xfId="0" applyNumberFormat="1" applyFont="1"/>
    <xf numFmtId="3" fontId="5" fillId="0" borderId="1" xfId="0" applyNumberFormat="1" applyFont="1" applyBorder="1"/>
    <xf numFmtId="2" fontId="6" fillId="3" borderId="1" xfId="0" applyNumberFormat="1" applyFont="1" applyFill="1" applyBorder="1"/>
    <xf numFmtId="0" fontId="7" fillId="0" borderId="0" xfId="0" applyFont="1"/>
    <xf numFmtId="166" fontId="4" fillId="0" borderId="0" xfId="0" applyNumberFormat="1" applyFont="1"/>
    <xf numFmtId="0" fontId="4" fillId="4" borderId="1" xfId="0" applyFont="1" applyFill="1" applyBorder="1"/>
    <xf numFmtId="165" fontId="9" fillId="0" borderId="1" xfId="0" applyNumberFormat="1" applyFont="1" applyBorder="1" applyAlignment="1">
      <alignment horizontal="center"/>
    </xf>
    <xf numFmtId="165" fontId="1" fillId="5" borderId="1" xfId="0" applyNumberFormat="1" applyFont="1" applyFill="1" applyBorder="1" applyAlignment="1">
      <alignment horizontal="center"/>
    </xf>
    <xf numFmtId="0" fontId="5" fillId="0" borderId="0" xfId="0" applyFont="1" applyAlignment="1">
      <alignment vertical="top" wrapText="1"/>
    </xf>
    <xf numFmtId="0" fontId="12" fillId="0" borderId="0" xfId="0" applyFont="1"/>
    <xf numFmtId="0" fontId="8" fillId="0" borderId="0" xfId="0" applyFont="1"/>
    <xf numFmtId="0" fontId="5" fillId="0" borderId="0" xfId="0" applyFont="1" applyAlignment="1">
      <alignment wrapText="1"/>
    </xf>
    <xf numFmtId="0" fontId="10" fillId="8" borderId="1" xfId="0" applyFont="1" applyFill="1" applyBorder="1"/>
    <xf numFmtId="0" fontId="5" fillId="0" borderId="0" xfId="0" applyFont="1"/>
    <xf numFmtId="0" fontId="10" fillId="6" borderId="1" xfId="0" applyFont="1" applyFill="1" applyBorder="1"/>
    <xf numFmtId="0" fontId="10" fillId="5" borderId="1" xfId="0" applyFont="1" applyFill="1" applyBorder="1"/>
    <xf numFmtId="0" fontId="10" fillId="7" borderId="1" xfId="0" applyFont="1" applyFill="1" applyBorder="1"/>
    <xf numFmtId="0" fontId="3" fillId="2" borderId="1" xfId="0" applyFont="1" applyFill="1" applyBorder="1" applyAlignment="1">
      <alignment horizontal="center" vertical="center"/>
    </xf>
    <xf numFmtId="0" fontId="5" fillId="0" borderId="1" xfId="0" applyFont="1" applyBorder="1" applyAlignment="1">
      <alignment vertical="top" wrapText="1"/>
    </xf>
    <xf numFmtId="0" fontId="10" fillId="6"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7" borderId="1" xfId="0" applyFont="1" applyFill="1" applyBorder="1" applyAlignment="1">
      <alignment horizontal="center" vertical="center"/>
    </xf>
    <xf numFmtId="0" fontId="11" fillId="0" borderId="0" xfId="0" applyFont="1" applyAlignment="1">
      <alignment vertical="top" wrapText="1"/>
    </xf>
    <xf numFmtId="164" fontId="0" fillId="0" borderId="1" xfId="0" applyNumberFormat="1" applyBorder="1"/>
    <xf numFmtId="3" fontId="0" fillId="0" borderId="1" xfId="0" applyNumberFormat="1" applyBorder="1"/>
    <xf numFmtId="2" fontId="0" fillId="0" borderId="1" xfId="0" applyNumberFormat="1" applyBorder="1"/>
    <xf numFmtId="1" fontId="4" fillId="0" borderId="1" xfId="0" applyNumberFormat="1" applyFont="1" applyBorder="1"/>
    <xf numFmtId="169" fontId="5" fillId="0" borderId="1" xfId="0" applyNumberFormat="1" applyFont="1" applyBorder="1"/>
    <xf numFmtId="167" fontId="13" fillId="0" borderId="0" xfId="0" applyNumberFormat="1" applyFont="1"/>
    <xf numFmtId="167" fontId="14"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27"/>
  <sheetViews>
    <sheetView showGridLines="0" workbookViewId="0"/>
  </sheetViews>
  <sheetFormatPr defaultRowHeight="14.5" x14ac:dyDescent="0.35"/>
  <cols>
    <col min="1" max="1" width="4" customWidth="1"/>
    <col min="2" max="2" width="30" customWidth="1"/>
    <col min="3" max="3" width="104" customWidth="1"/>
  </cols>
  <sheetData>
    <row r="1" spans="2:3" ht="19.5" x14ac:dyDescent="0.45">
      <c r="B1" s="23" t="s">
        <v>0</v>
      </c>
    </row>
    <row r="2" spans="2:3" x14ac:dyDescent="0.35">
      <c r="B2" s="2" t="s">
        <v>1</v>
      </c>
    </row>
    <row r="4" spans="2:3" ht="34" customHeight="1" x14ac:dyDescent="0.35">
      <c r="B4" s="17" t="s">
        <v>2</v>
      </c>
      <c r="C4" s="22" t="s">
        <v>3</v>
      </c>
    </row>
    <row r="5" spans="2:3" ht="34" customHeight="1" x14ac:dyDescent="0.35">
      <c r="B5" s="17" t="s">
        <v>4</v>
      </c>
      <c r="C5" s="22"/>
    </row>
    <row r="6" spans="2:3" ht="34" customHeight="1" x14ac:dyDescent="0.35">
      <c r="B6" s="17" t="s">
        <v>5</v>
      </c>
      <c r="C6" s="22"/>
    </row>
    <row r="7" spans="2:3" ht="34" customHeight="1" x14ac:dyDescent="0.35">
      <c r="B7" s="17" t="s">
        <v>6</v>
      </c>
      <c r="C7" s="22" t="s">
        <v>7</v>
      </c>
    </row>
    <row r="8" spans="2:3" ht="34" customHeight="1" x14ac:dyDescent="0.35">
      <c r="B8" s="17" t="s">
        <v>8</v>
      </c>
      <c r="C8" s="22" t="s">
        <v>9</v>
      </c>
    </row>
    <row r="9" spans="2:3" ht="34" customHeight="1" x14ac:dyDescent="0.35">
      <c r="B9" s="17" t="s">
        <v>10</v>
      </c>
      <c r="C9" s="22" t="s">
        <v>11</v>
      </c>
    </row>
    <row r="11" spans="2:3" ht="15.5" x14ac:dyDescent="0.35">
      <c r="B11" s="24" t="s">
        <v>12</v>
      </c>
    </row>
    <row r="12" spans="2:3" x14ac:dyDescent="0.35">
      <c r="C12" s="25" t="s">
        <v>13</v>
      </c>
    </row>
    <row r="13" spans="2:3" x14ac:dyDescent="0.35">
      <c r="C13" s="25" t="s">
        <v>14</v>
      </c>
    </row>
    <row r="14" spans="2:3" x14ac:dyDescent="0.35">
      <c r="C14" s="25" t="s">
        <v>15</v>
      </c>
    </row>
    <row r="15" spans="2:3" x14ac:dyDescent="0.35">
      <c r="C15" s="25" t="s">
        <v>16</v>
      </c>
    </row>
    <row r="17" spans="2:3" ht="15.5" x14ac:dyDescent="0.35">
      <c r="B17" s="24" t="s">
        <v>17</v>
      </c>
    </row>
    <row r="18" spans="2:3" ht="30" customHeight="1" x14ac:dyDescent="0.35">
      <c r="C18" s="22" t="s">
        <v>18</v>
      </c>
    </row>
    <row r="19" spans="2:3" ht="30" customHeight="1" x14ac:dyDescent="0.35">
      <c r="C19" s="22" t="s">
        <v>19</v>
      </c>
    </row>
    <row r="20" spans="2:3" ht="30" customHeight="1" x14ac:dyDescent="0.35">
      <c r="C20" s="22" t="s">
        <v>20</v>
      </c>
    </row>
    <row r="21" spans="2:3" ht="30" customHeight="1" x14ac:dyDescent="0.35">
      <c r="C21" s="22" t="s">
        <v>21</v>
      </c>
    </row>
    <row r="23" spans="2:3" ht="15.5" x14ac:dyDescent="0.35">
      <c r="B23" s="24" t="s">
        <v>22</v>
      </c>
    </row>
    <row r="24" spans="2:3" x14ac:dyDescent="0.35">
      <c r="B24" s="26" t="s">
        <v>23</v>
      </c>
      <c r="C24" s="27" t="s">
        <v>24</v>
      </c>
    </row>
    <row r="25" spans="2:3" x14ac:dyDescent="0.35">
      <c r="B25" s="28" t="s">
        <v>25</v>
      </c>
      <c r="C25" s="27" t="s">
        <v>26</v>
      </c>
    </row>
    <row r="26" spans="2:3" x14ac:dyDescent="0.35">
      <c r="B26" s="29" t="s">
        <v>27</v>
      </c>
      <c r="C26" s="27" t="s">
        <v>28</v>
      </c>
    </row>
    <row r="27" spans="2:3" x14ac:dyDescent="0.35">
      <c r="B27" s="30" t="s">
        <v>29</v>
      </c>
      <c r="C27" s="27" t="s">
        <v>30</v>
      </c>
    </row>
  </sheetData>
  <pageMargins left="0.75" right="0.75" top="1" bottom="1" header="0.5" footer="0.5"/>
  <headerFooter>
    <oddFooter>&amp;R_x000D_&amp;1#&amp;"Aptos"&amp;8&amp;K000000 Tata Sons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showGridLines="0" tabSelected="1" workbookViewId="0"/>
  </sheetViews>
  <sheetFormatPr defaultRowHeight="14.5" x14ac:dyDescent="0.35"/>
  <cols>
    <col min="1" max="1" width="34" customWidth="1"/>
    <col min="2" max="6" width="13" customWidth="1"/>
    <col min="7" max="7" width="52" customWidth="1"/>
    <col min="8" max="8" width="88" customWidth="1"/>
    <col min="9" max="9" width="14" customWidth="1"/>
  </cols>
  <sheetData>
    <row r="1" spans="1:9" ht="18.5" x14ac:dyDescent="0.45">
      <c r="A1" s="1" t="s">
        <v>31</v>
      </c>
    </row>
    <row r="2" spans="1:9" x14ac:dyDescent="0.35">
      <c r="A2" s="2" t="s">
        <v>32</v>
      </c>
    </row>
    <row r="4" spans="1:9" ht="30" customHeight="1" x14ac:dyDescent="0.35">
      <c r="A4" s="3" t="s">
        <v>33</v>
      </c>
      <c r="B4" s="3" t="s">
        <v>34</v>
      </c>
      <c r="C4" s="3" t="s">
        <v>35</v>
      </c>
      <c r="D4" s="3" t="s">
        <v>36</v>
      </c>
      <c r="E4" s="3" t="s">
        <v>37</v>
      </c>
      <c r="F4" s="3" t="s">
        <v>38</v>
      </c>
      <c r="G4" s="3" t="s">
        <v>39</v>
      </c>
      <c r="H4" s="31" t="s">
        <v>40</v>
      </c>
      <c r="I4" s="31" t="s">
        <v>41</v>
      </c>
    </row>
    <row r="5" spans="1:9" ht="62" customHeight="1" x14ac:dyDescent="0.35">
      <c r="A5" s="4" t="s">
        <v>42</v>
      </c>
      <c r="B5" s="5">
        <v>2</v>
      </c>
      <c r="C5" s="6">
        <v>3</v>
      </c>
      <c r="D5" s="5">
        <v>4</v>
      </c>
      <c r="E5" s="7">
        <f t="shared" ref="E5:E11" si="0">LN(C5)/LN($C$12)</f>
        <v>0.31001873494126347</v>
      </c>
      <c r="F5" s="5">
        <f>100/C5</f>
        <v>33.333333333333336</v>
      </c>
      <c r="G5" s="8" t="s">
        <v>43</v>
      </c>
      <c r="H5" s="32" t="s">
        <v>44</v>
      </c>
      <c r="I5" s="33" t="s">
        <v>25</v>
      </c>
    </row>
    <row r="6" spans="1:9" ht="62" customHeight="1" x14ac:dyDescent="0.35">
      <c r="A6" s="4" t="s">
        <v>45</v>
      </c>
      <c r="B6" s="5">
        <v>1.9</v>
      </c>
      <c r="C6" s="6">
        <v>2.8</v>
      </c>
      <c r="D6" s="5">
        <v>3.5</v>
      </c>
      <c r="E6" s="7">
        <f t="shared" si="0"/>
        <v>0.29054955281125039</v>
      </c>
      <c r="F6" s="5">
        <f t="shared" ref="F6:F11" si="1">F5/C6</f>
        <v>11.904761904761907</v>
      </c>
      <c r="G6" s="8" t="s">
        <v>46</v>
      </c>
      <c r="H6" s="32" t="s">
        <v>47</v>
      </c>
      <c r="I6" s="34" t="s">
        <v>27</v>
      </c>
    </row>
    <row r="7" spans="1:9" ht="62" customHeight="1" x14ac:dyDescent="0.35">
      <c r="A7" s="4" t="s">
        <v>48</v>
      </c>
      <c r="B7" s="5">
        <v>1.35</v>
      </c>
      <c r="C7" s="6">
        <v>1.6</v>
      </c>
      <c r="D7" s="5">
        <v>1.9</v>
      </c>
      <c r="E7" s="7">
        <f t="shared" si="0"/>
        <v>0.13263089450165844</v>
      </c>
      <c r="F7" s="5">
        <f t="shared" si="1"/>
        <v>7.4404761904761916</v>
      </c>
      <c r="G7" s="8" t="s">
        <v>49</v>
      </c>
      <c r="H7" s="32" t="s">
        <v>50</v>
      </c>
      <c r="I7" s="34" t="s">
        <v>27</v>
      </c>
    </row>
    <row r="8" spans="1:9" ht="62" customHeight="1" x14ac:dyDescent="0.35">
      <c r="A8" s="4" t="s">
        <v>51</v>
      </c>
      <c r="B8" s="5">
        <v>1.25</v>
      </c>
      <c r="C8" s="6">
        <v>1.5</v>
      </c>
      <c r="D8" s="5">
        <v>1.8</v>
      </c>
      <c r="E8" s="7">
        <f t="shared" si="0"/>
        <v>0.11441869090223712</v>
      </c>
      <c r="F8" s="5">
        <f t="shared" si="1"/>
        <v>4.9603174603174613</v>
      </c>
      <c r="G8" s="8" t="s">
        <v>52</v>
      </c>
      <c r="H8" s="32" t="s">
        <v>53</v>
      </c>
      <c r="I8" s="33" t="s">
        <v>25</v>
      </c>
    </row>
    <row r="9" spans="1:9" ht="62" customHeight="1" x14ac:dyDescent="0.35">
      <c r="A9" s="4" t="s">
        <v>54</v>
      </c>
      <c r="B9" s="5">
        <v>1.1499999999999999</v>
      </c>
      <c r="C9" s="6">
        <v>1.3</v>
      </c>
      <c r="D9" s="5">
        <v>1.45</v>
      </c>
      <c r="E9" s="7">
        <f t="shared" si="0"/>
        <v>7.4036890177712894E-2</v>
      </c>
      <c r="F9" s="5">
        <f t="shared" si="1"/>
        <v>3.8156288156288163</v>
      </c>
      <c r="G9" s="8" t="s">
        <v>55</v>
      </c>
      <c r="H9" s="32" t="s">
        <v>56</v>
      </c>
      <c r="I9" s="35" t="s">
        <v>29</v>
      </c>
    </row>
    <row r="10" spans="1:9" ht="62" customHeight="1" x14ac:dyDescent="0.35">
      <c r="A10" s="4" t="s">
        <v>57</v>
      </c>
      <c r="B10" s="5">
        <v>1.05</v>
      </c>
      <c r="C10" s="6">
        <v>1.2</v>
      </c>
      <c r="D10" s="5">
        <v>1.3</v>
      </c>
      <c r="E10" s="7">
        <f t="shared" si="0"/>
        <v>5.1449541364869185E-2</v>
      </c>
      <c r="F10" s="5">
        <f t="shared" si="1"/>
        <v>3.1796906796906805</v>
      </c>
      <c r="G10" s="8" t="s">
        <v>58</v>
      </c>
      <c r="H10" s="32" t="s">
        <v>59</v>
      </c>
      <c r="I10" s="34" t="s">
        <v>27</v>
      </c>
    </row>
    <row r="11" spans="1:9" ht="62" customHeight="1" x14ac:dyDescent="0.35">
      <c r="A11" s="4" t="s">
        <v>60</v>
      </c>
      <c r="B11" s="5">
        <v>0.95</v>
      </c>
      <c r="C11" s="6">
        <v>1.1000000000000001</v>
      </c>
      <c r="D11" s="5">
        <v>1.2</v>
      </c>
      <c r="E11" s="7">
        <f t="shared" si="0"/>
        <v>2.689569530100859E-2</v>
      </c>
      <c r="F11" s="5">
        <f t="shared" si="1"/>
        <v>2.8906278906278913</v>
      </c>
      <c r="G11" s="8" t="s">
        <v>61</v>
      </c>
      <c r="H11" s="32" t="s">
        <v>62</v>
      </c>
      <c r="I11" s="34" t="s">
        <v>27</v>
      </c>
    </row>
    <row r="12" spans="1:9" x14ac:dyDescent="0.35">
      <c r="A12" s="9" t="s">
        <v>63</v>
      </c>
      <c r="B12" s="10">
        <f>PRODUCT(B5:B11)</f>
        <v>7.3559390624999983</v>
      </c>
      <c r="C12" s="10">
        <f>PRODUCT(C5:C11)</f>
        <v>34.594559999999994</v>
      </c>
      <c r="D12" s="10">
        <f>PRODUCT(D5:D11)</f>
        <v>108.30455999999998</v>
      </c>
      <c r="E12" s="11">
        <f>SUM(E5:E11)</f>
        <v>1</v>
      </c>
      <c r="F12" s="12">
        <f>100/C12</f>
        <v>2.8906278906278913</v>
      </c>
      <c r="G12" s="2" t="s">
        <v>64</v>
      </c>
    </row>
    <row r="14" spans="1:9" ht="15.5" x14ac:dyDescent="0.35">
      <c r="A14" s="13" t="s">
        <v>65</v>
      </c>
      <c r="C14" s="14">
        <f>1-1/C12</f>
        <v>0.97109372109372105</v>
      </c>
    </row>
    <row r="15" spans="1:9" ht="40" customHeight="1" x14ac:dyDescent="0.35">
      <c r="A15" s="36" t="s">
        <v>66</v>
      </c>
    </row>
    <row r="16" spans="1:9" x14ac:dyDescent="0.35">
      <c r="A16" s="2" t="s">
        <v>67</v>
      </c>
    </row>
    <row r="17" spans="1:1" x14ac:dyDescent="0.35">
      <c r="A17" s="2" t="s">
        <v>68</v>
      </c>
    </row>
  </sheetData>
  <pageMargins left="0.75" right="0.75" top="1" bottom="1" header="0.5" footer="0.5"/>
  <headerFooter>
    <oddFooter>&amp;R_x000D_&amp;1#&amp;"Aptos"&amp;8&amp;K000000 Tata Sons -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showGridLines="0" workbookViewId="0"/>
  </sheetViews>
  <sheetFormatPr defaultRowHeight="14.5" x14ac:dyDescent="0.35"/>
  <cols>
    <col min="1" max="1" width="34" customWidth="1"/>
    <col min="2" max="5" width="13" customWidth="1"/>
    <col min="6" max="6" width="15" customWidth="1"/>
    <col min="7" max="7" width="52" customWidth="1"/>
    <col min="8" max="8" width="60" customWidth="1"/>
    <col min="9" max="9" width="14" customWidth="1"/>
  </cols>
  <sheetData>
    <row r="1" spans="1:9" ht="18.5" x14ac:dyDescent="0.45">
      <c r="A1" s="1" t="s">
        <v>69</v>
      </c>
    </row>
    <row r="2" spans="1:9" x14ac:dyDescent="0.35">
      <c r="A2" s="2" t="s">
        <v>70</v>
      </c>
    </row>
    <row r="4" spans="1:9" ht="30" customHeight="1" x14ac:dyDescent="0.35">
      <c r="A4" s="3" t="s">
        <v>33</v>
      </c>
      <c r="B4" s="3" t="s">
        <v>29</v>
      </c>
      <c r="C4" s="3" t="s">
        <v>35</v>
      </c>
      <c r="D4" s="3" t="s">
        <v>23</v>
      </c>
      <c r="E4" s="3" t="s">
        <v>37</v>
      </c>
      <c r="F4" s="3" t="s">
        <v>71</v>
      </c>
      <c r="G4" s="3" t="s">
        <v>72</v>
      </c>
      <c r="H4" s="3" t="s">
        <v>40</v>
      </c>
      <c r="I4" s="3" t="s">
        <v>41</v>
      </c>
    </row>
    <row r="5" spans="1:9" ht="58" customHeight="1" x14ac:dyDescent="0.35">
      <c r="A5" s="4" t="s">
        <v>73</v>
      </c>
      <c r="B5" s="5">
        <v>3</v>
      </c>
      <c r="C5" s="16">
        <v>5.2</v>
      </c>
      <c r="D5" s="5">
        <v>8</v>
      </c>
      <c r="E5" s="37">
        <f>LN(C5)/LN(PRODUCT($C$5:$C$9))</f>
        <v>0.46561375347780309</v>
      </c>
      <c r="F5" s="38">
        <f>100*C5</f>
        <v>520</v>
      </c>
      <c r="G5" s="8" t="s">
        <v>74</v>
      </c>
      <c r="H5" s="32" t="s">
        <v>75</v>
      </c>
      <c r="I5" s="34" t="s">
        <v>27</v>
      </c>
    </row>
    <row r="6" spans="1:9" ht="58" customHeight="1" x14ac:dyDescent="0.35">
      <c r="A6" s="4" t="s">
        <v>76</v>
      </c>
      <c r="B6" s="5">
        <v>1.8</v>
      </c>
      <c r="C6" s="16">
        <v>3</v>
      </c>
      <c r="D6" s="5">
        <v>4.5</v>
      </c>
      <c r="E6" s="37">
        <f>LN(C6)/LN(PRODUCT($C$5:$C$9))</f>
        <v>0.3102698056496393</v>
      </c>
      <c r="F6" s="38">
        <f>F5*C6</f>
        <v>1560</v>
      </c>
      <c r="G6" s="8" t="s">
        <v>77</v>
      </c>
      <c r="H6" s="32" t="s">
        <v>78</v>
      </c>
      <c r="I6" s="34" t="s">
        <v>27</v>
      </c>
    </row>
    <row r="7" spans="1:9" ht="58" customHeight="1" x14ac:dyDescent="0.35">
      <c r="A7" s="4" t="s">
        <v>79</v>
      </c>
      <c r="B7" s="5">
        <v>1.2</v>
      </c>
      <c r="C7" s="16">
        <v>1.45</v>
      </c>
      <c r="D7" s="5">
        <v>1.8</v>
      </c>
      <c r="E7" s="37">
        <f>LN(C7)/LN(PRODUCT($C$5:$C$9))</f>
        <v>0.10493688595142121</v>
      </c>
      <c r="F7" s="38">
        <f>F6*C7</f>
        <v>2262</v>
      </c>
      <c r="G7" s="8" t="s">
        <v>80</v>
      </c>
      <c r="H7" s="32" t="s">
        <v>81</v>
      </c>
      <c r="I7" s="34" t="s">
        <v>27</v>
      </c>
    </row>
    <row r="8" spans="1:9" ht="58" customHeight="1" x14ac:dyDescent="0.35">
      <c r="A8" s="4" t="s">
        <v>82</v>
      </c>
      <c r="B8" s="5">
        <v>1.1000000000000001</v>
      </c>
      <c r="C8" s="16">
        <v>1.25</v>
      </c>
      <c r="D8" s="5">
        <v>1.6</v>
      </c>
      <c r="E8" s="37">
        <f>LN(C8)/LN(PRODUCT($C$5:$C$9))</f>
        <v>6.302014551663726E-2</v>
      </c>
      <c r="F8" s="38">
        <f>F7*C8</f>
        <v>2827.5</v>
      </c>
      <c r="G8" s="8" t="s">
        <v>83</v>
      </c>
      <c r="H8" s="32" t="s">
        <v>83</v>
      </c>
      <c r="I8" s="35" t="s">
        <v>29</v>
      </c>
    </row>
    <row r="9" spans="1:9" ht="58" customHeight="1" x14ac:dyDescent="0.35">
      <c r="A9" s="4" t="s">
        <v>84</v>
      </c>
      <c r="B9" s="5">
        <v>1.1000000000000001</v>
      </c>
      <c r="C9" s="16">
        <v>1.22</v>
      </c>
      <c r="D9" s="5">
        <v>1.45</v>
      </c>
      <c r="E9" s="37">
        <f>LN(C9)/LN(PRODUCT($C$5:$C$9))</f>
        <v>5.6159409404499233E-2</v>
      </c>
      <c r="F9" s="38">
        <f>F8*C9</f>
        <v>3449.5499999999997</v>
      </c>
      <c r="G9" s="8" t="s">
        <v>85</v>
      </c>
      <c r="H9" s="32" t="s">
        <v>85</v>
      </c>
      <c r="I9" s="35" t="s">
        <v>29</v>
      </c>
    </row>
    <row r="10" spans="1:9" x14ac:dyDescent="0.35">
      <c r="A10" s="9" t="s">
        <v>86</v>
      </c>
      <c r="B10" s="10">
        <f>PRODUCT(B5:B9)</f>
        <v>7.8408000000000015</v>
      </c>
      <c r="C10" s="10">
        <f>PRODUCT(C5:C9)</f>
        <v>34.4955</v>
      </c>
      <c r="D10" s="10">
        <f>PRODUCT(D5:D9)</f>
        <v>150.33600000000001</v>
      </c>
    </row>
    <row r="11" spans="1:9" ht="58" customHeight="1" x14ac:dyDescent="0.35">
      <c r="A11" s="4" t="s">
        <v>87</v>
      </c>
      <c r="B11" s="39">
        <v>2</v>
      </c>
      <c r="C11" s="16">
        <v>1.45</v>
      </c>
      <c r="D11" s="39">
        <v>1.1000000000000001</v>
      </c>
      <c r="E11" s="37">
        <f>-LN(C11)/LN(PRODUCT($C$5:$C$9))</f>
        <v>-0.10493688595142121</v>
      </c>
      <c r="F11" s="38">
        <f>F9/C11</f>
        <v>2379</v>
      </c>
      <c r="G11" s="8" t="s">
        <v>88</v>
      </c>
      <c r="H11" s="32" t="s">
        <v>89</v>
      </c>
      <c r="I11" s="34" t="s">
        <v>27</v>
      </c>
    </row>
    <row r="12" spans="1:9" x14ac:dyDescent="0.35">
      <c r="A12" s="9" t="s">
        <v>90</v>
      </c>
      <c r="B12" s="10">
        <f>B10/B11</f>
        <v>3.9204000000000008</v>
      </c>
      <c r="C12" s="10">
        <f>C10/C11</f>
        <v>23.79</v>
      </c>
      <c r="D12" s="10">
        <f>D10/D11</f>
        <v>136.6690909090909</v>
      </c>
    </row>
    <row r="14" spans="1:9" ht="46" customHeight="1" x14ac:dyDescent="0.35">
      <c r="A14" s="36" t="s">
        <v>91</v>
      </c>
    </row>
    <row r="16" spans="1:9" ht="46" customHeight="1" x14ac:dyDescent="0.35">
      <c r="A16" s="22" t="s">
        <v>92</v>
      </c>
    </row>
    <row r="18" spans="1:1" ht="46" customHeight="1" x14ac:dyDescent="0.35">
      <c r="A18" s="22" t="s">
        <v>93</v>
      </c>
    </row>
  </sheetData>
  <pageMargins left="0.75" right="0.75" top="1" bottom="1" header="0.5" footer="0.5"/>
  <headerFooter>
    <oddFooter>&amp;R_x000D_&amp;1#&amp;"Aptos"&amp;8&amp;K000000 Tata Sons -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
  <sheetViews>
    <sheetView showGridLines="0" workbookViewId="0">
      <selection activeCell="H12" sqref="H12"/>
    </sheetView>
  </sheetViews>
  <sheetFormatPr defaultRowHeight="14.5" x14ac:dyDescent="0.35"/>
  <cols>
    <col min="1" max="1" width="12" customWidth="1"/>
    <col min="2" max="3" width="20" customWidth="1"/>
    <col min="4" max="4" width="18" customWidth="1"/>
    <col min="5" max="6" width="22" customWidth="1"/>
  </cols>
  <sheetData>
    <row r="1" spans="1:9" ht="18.5" x14ac:dyDescent="0.45">
      <c r="A1" s="1" t="s">
        <v>94</v>
      </c>
    </row>
    <row r="2" spans="1:9" x14ac:dyDescent="0.35">
      <c r="A2" s="2" t="s">
        <v>95</v>
      </c>
    </row>
    <row r="4" spans="1:9" ht="30" customHeight="1" x14ac:dyDescent="0.35">
      <c r="A4" s="3" t="s">
        <v>96</v>
      </c>
      <c r="B4" s="3" t="s">
        <v>97</v>
      </c>
      <c r="C4" s="3" t="s">
        <v>98</v>
      </c>
      <c r="D4" s="3" t="s">
        <v>99</v>
      </c>
      <c r="E4" s="3" t="s">
        <v>100</v>
      </c>
      <c r="F4" s="3" t="s">
        <v>101</v>
      </c>
    </row>
    <row r="5" spans="1:9" x14ac:dyDescent="0.35">
      <c r="A5" s="40">
        <v>2026</v>
      </c>
      <c r="B5" s="41">
        <v>100</v>
      </c>
      <c r="C5" s="41">
        <v>100</v>
      </c>
      <c r="D5" s="15">
        <v>100</v>
      </c>
      <c r="E5" s="15">
        <v>100</v>
      </c>
      <c r="F5" s="15">
        <v>100</v>
      </c>
      <c r="H5">
        <f>B5*D5/100</f>
        <v>100</v>
      </c>
      <c r="I5">
        <f>C5*D5/100</f>
        <v>100</v>
      </c>
    </row>
    <row r="6" spans="1:9" x14ac:dyDescent="0.35">
      <c r="A6" s="40">
        <v>2027</v>
      </c>
      <c r="B6" s="41">
        <v>32.200000000000003</v>
      </c>
      <c r="C6" s="41">
        <v>53.6</v>
      </c>
      <c r="D6" s="15">
        <v>259</v>
      </c>
      <c r="E6" s="15">
        <v>83</v>
      </c>
      <c r="F6" s="15">
        <v>139</v>
      </c>
      <c r="H6">
        <f t="shared" ref="H6:H9" si="0">B6*D6/100</f>
        <v>83.39800000000001</v>
      </c>
      <c r="I6">
        <f t="shared" ref="I6:I9" si="1">C6*D6/100</f>
        <v>138.82399999999998</v>
      </c>
    </row>
    <row r="7" spans="1:9" x14ac:dyDescent="0.35">
      <c r="A7" s="40">
        <v>2028</v>
      </c>
      <c r="B7" s="41">
        <v>12.4</v>
      </c>
      <c r="C7" s="41">
        <v>31.7</v>
      </c>
      <c r="D7" s="15">
        <v>629</v>
      </c>
      <c r="E7" s="15">
        <v>78</v>
      </c>
      <c r="F7" s="15">
        <v>199</v>
      </c>
      <c r="H7">
        <f t="shared" si="0"/>
        <v>77.996000000000009</v>
      </c>
      <c r="I7">
        <f t="shared" si="1"/>
        <v>199.393</v>
      </c>
    </row>
    <row r="8" spans="1:9" x14ac:dyDescent="0.35">
      <c r="A8" s="40">
        <v>2029</v>
      </c>
      <c r="B8" s="41">
        <v>5.7</v>
      </c>
      <c r="C8" s="41">
        <v>20.6</v>
      </c>
      <c r="D8" s="15">
        <v>1303</v>
      </c>
      <c r="E8" s="15">
        <v>74</v>
      </c>
      <c r="F8" s="15">
        <v>269</v>
      </c>
      <c r="H8">
        <f t="shared" si="0"/>
        <v>74.271000000000001</v>
      </c>
      <c r="I8">
        <f t="shared" si="1"/>
        <v>268.41800000000001</v>
      </c>
    </row>
    <row r="9" spans="1:9" x14ac:dyDescent="0.35">
      <c r="A9" s="40">
        <v>2030</v>
      </c>
      <c r="B9" s="41">
        <v>2.9</v>
      </c>
      <c r="C9" s="41">
        <v>14.2</v>
      </c>
      <c r="D9" s="15">
        <v>2379</v>
      </c>
      <c r="E9" s="15">
        <v>69</v>
      </c>
      <c r="F9" s="15">
        <v>339</v>
      </c>
      <c r="H9">
        <f t="shared" si="0"/>
        <v>68.991</v>
      </c>
      <c r="I9">
        <f t="shared" si="1"/>
        <v>337.81799999999998</v>
      </c>
    </row>
    <row r="11" spans="1:9" ht="15.5" x14ac:dyDescent="0.35">
      <c r="A11" s="17" t="s">
        <v>102</v>
      </c>
      <c r="B11">
        <f>B5/B9</f>
        <v>34.482758620689658</v>
      </c>
      <c r="C11">
        <f>C5/C9</f>
        <v>7.042253521126761</v>
      </c>
      <c r="D11" s="18">
        <f>D9/D5</f>
        <v>23.79</v>
      </c>
      <c r="E11" s="42">
        <f>E9/E5</f>
        <v>0.69</v>
      </c>
      <c r="F11" s="43">
        <f>F9/F5</f>
        <v>3.39</v>
      </c>
      <c r="H11" s="43">
        <f>H9/H5</f>
        <v>0.68991000000000002</v>
      </c>
      <c r="I11" s="43">
        <f>I9/I5</f>
        <v>3.37818</v>
      </c>
    </row>
    <row r="12" spans="1:9" x14ac:dyDescent="0.35">
      <c r="H12">
        <f>H5/H9</f>
        <v>1.4494644228957401</v>
      </c>
    </row>
  </sheetData>
  <pageMargins left="0.75" right="0.75" top="1" bottom="1" header="0.5" footer="0.5"/>
  <headerFooter>
    <oddFooter>&amp;R_x000D_&amp;1#&amp;"Aptos"&amp;8&amp;K000000 Tata Sons -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showGridLines="0" workbookViewId="0"/>
  </sheetViews>
  <sheetFormatPr defaultRowHeight="14.5" x14ac:dyDescent="0.35"/>
  <cols>
    <col min="1" max="1" width="34" customWidth="1"/>
    <col min="2" max="4" width="22" customWidth="1"/>
  </cols>
  <sheetData>
    <row r="1" spans="1:4" ht="18.5" x14ac:dyDescent="0.45">
      <c r="A1" s="1" t="s">
        <v>103</v>
      </c>
    </row>
    <row r="2" spans="1:4" x14ac:dyDescent="0.35">
      <c r="A2" s="2" t="s">
        <v>104</v>
      </c>
    </row>
    <row r="4" spans="1:4" ht="32" customHeight="1" x14ac:dyDescent="0.35">
      <c r="A4" s="3" t="s">
        <v>105</v>
      </c>
      <c r="B4" s="3" t="s">
        <v>106</v>
      </c>
      <c r="C4" s="3" t="s">
        <v>107</v>
      </c>
      <c r="D4" s="3" t="s">
        <v>108</v>
      </c>
    </row>
    <row r="5" spans="1:4" ht="30" customHeight="1" x14ac:dyDescent="0.35">
      <c r="A5" s="19" t="s">
        <v>109</v>
      </c>
      <c r="B5" s="20">
        <v>0.19</v>
      </c>
      <c r="C5" s="20">
        <v>0.69</v>
      </c>
      <c r="D5" s="20">
        <v>1.52</v>
      </c>
    </row>
    <row r="6" spans="1:4" ht="30" customHeight="1" x14ac:dyDescent="0.35">
      <c r="A6" s="19" t="s">
        <v>110</v>
      </c>
      <c r="B6" s="20">
        <v>0.45</v>
      </c>
      <c r="C6" s="20">
        <v>1.59</v>
      </c>
      <c r="D6" s="20">
        <v>3.5</v>
      </c>
    </row>
    <row r="7" spans="1:4" ht="30" customHeight="1" x14ac:dyDescent="0.45">
      <c r="A7" s="19" t="s">
        <v>111</v>
      </c>
      <c r="B7" s="20">
        <v>0.95</v>
      </c>
      <c r="C7" s="21">
        <v>3.39</v>
      </c>
      <c r="D7" s="20">
        <v>7.48</v>
      </c>
    </row>
    <row r="9" spans="1:4" ht="42" customHeight="1" x14ac:dyDescent="0.35">
      <c r="A9" s="36" t="s">
        <v>112</v>
      </c>
    </row>
  </sheetData>
  <pageMargins left="0.75" right="0.75" top="1" bottom="1" header="0.5" footer="0.5"/>
  <headerFooter>
    <oddFooter>&amp;R_x000D_&amp;1#&amp;"Aptos"&amp;8&amp;K000000 Tata Sons -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6"/>
  <sheetViews>
    <sheetView showGridLines="0" workbookViewId="0"/>
  </sheetViews>
  <sheetFormatPr defaultRowHeight="14.5" x14ac:dyDescent="0.35"/>
  <cols>
    <col min="1" max="1" width="100" customWidth="1"/>
  </cols>
  <sheetData>
    <row r="1" spans="1:1" ht="18.5" x14ac:dyDescent="0.45">
      <c r="A1" s="1" t="s">
        <v>113</v>
      </c>
    </row>
    <row r="2" spans="1:1" x14ac:dyDescent="0.35">
      <c r="A2" s="2"/>
    </row>
    <row r="4" spans="1:1" x14ac:dyDescent="0.35">
      <c r="A4" s="17" t="s">
        <v>114</v>
      </c>
    </row>
    <row r="5" spans="1:1" ht="46" customHeight="1" x14ac:dyDescent="0.35">
      <c r="A5" s="22" t="s">
        <v>115</v>
      </c>
    </row>
    <row r="7" spans="1:1" x14ac:dyDescent="0.35">
      <c r="A7" s="17" t="s">
        <v>116</v>
      </c>
    </row>
    <row r="8" spans="1:1" ht="46" customHeight="1" x14ac:dyDescent="0.35">
      <c r="A8" s="22" t="s">
        <v>117</v>
      </c>
    </row>
    <row r="10" spans="1:1" x14ac:dyDescent="0.35">
      <c r="A10" s="17" t="s">
        <v>118</v>
      </c>
    </row>
    <row r="11" spans="1:1" ht="46" customHeight="1" x14ac:dyDescent="0.35">
      <c r="A11" s="22" t="s">
        <v>119</v>
      </c>
    </row>
    <row r="13" spans="1:1" x14ac:dyDescent="0.35">
      <c r="A13" s="17" t="s">
        <v>120</v>
      </c>
    </row>
    <row r="14" spans="1:1" ht="46" customHeight="1" x14ac:dyDescent="0.35">
      <c r="A14" s="22" t="s">
        <v>121</v>
      </c>
    </row>
    <row r="16" spans="1:1" x14ac:dyDescent="0.35">
      <c r="A16" s="17" t="s">
        <v>122</v>
      </c>
    </row>
    <row r="17" spans="1:1" ht="46" customHeight="1" x14ac:dyDescent="0.35">
      <c r="A17" s="22" t="s">
        <v>123</v>
      </c>
    </row>
    <row r="19" spans="1:1" x14ac:dyDescent="0.35">
      <c r="A19" s="17" t="s">
        <v>124</v>
      </c>
    </row>
    <row r="20" spans="1:1" ht="46" customHeight="1" x14ac:dyDescent="0.35">
      <c r="A20" s="22" t="s">
        <v>125</v>
      </c>
    </row>
    <row r="22" spans="1:1" x14ac:dyDescent="0.35">
      <c r="A22" s="17" t="s">
        <v>126</v>
      </c>
    </row>
    <row r="23" spans="1:1" ht="64" customHeight="1" x14ac:dyDescent="0.35">
      <c r="A23" s="22" t="s">
        <v>127</v>
      </c>
    </row>
    <row r="25" spans="1:1" x14ac:dyDescent="0.35">
      <c r="A25" s="17" t="s">
        <v>128</v>
      </c>
    </row>
    <row r="26" spans="1:1" ht="64" customHeight="1" x14ac:dyDescent="0.35">
      <c r="A26" s="22" t="s">
        <v>129</v>
      </c>
    </row>
  </sheetData>
  <pageMargins left="0.75" right="0.75" top="1" bottom="1" header="0.5" footer="0.5"/>
  <headerFooter>
    <oddFooter>&amp;R_x000D_&amp;1#&amp;"Aptos"&amp;8&amp;K000000 Tata Sons -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How to read this</vt:lpstr>
      <vt:lpstr>Supply model</vt:lpstr>
      <vt:lpstr>Demand model</vt:lpstr>
      <vt:lpstr>Trajectory</vt:lpstr>
      <vt:lpstr>Strategy matrix</vt:lpstr>
      <vt:lpstr>Method &amp;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Nitin Bandgar</cp:lastModifiedBy>
  <dcterms:created xsi:type="dcterms:W3CDTF">2026-08-10T13:01:57Z</dcterms:created>
  <dcterms:modified xsi:type="dcterms:W3CDTF">2026-08-12T08:34:40Z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bba68-4eb1-45e8-9c75-b7dd7eb6bd90_Enabled">
    <vt:lpwstr>true</vt:lpwstr>
  </property>
  <property fmtid="{D5CDD505-2E9C-101B-9397-08002B2CF9AE}" pid="3" name="MSIP_Label_153bba68-4eb1-45e8-9c75-b7dd7eb6bd90_SetDate">
    <vt:lpwstr>2026-08-12T08:19:37Z</vt:lpwstr>
  </property>
  <property fmtid="{D5CDD505-2E9C-101B-9397-08002B2CF9AE}" pid="4" name="MSIP_Label_153bba68-4eb1-45e8-9c75-b7dd7eb6bd90_Method">
    <vt:lpwstr>Standard</vt:lpwstr>
  </property>
  <property fmtid="{D5CDD505-2E9C-101B-9397-08002B2CF9AE}" pid="5" name="MSIP_Label_153bba68-4eb1-45e8-9c75-b7dd7eb6bd90_Name">
    <vt:lpwstr>153bba68-4eb1-45e8-9c75-b7dd7eb6bd90</vt:lpwstr>
  </property>
  <property fmtid="{D5CDD505-2E9C-101B-9397-08002B2CF9AE}" pid="6" name="MSIP_Label_153bba68-4eb1-45e8-9c75-b7dd7eb6bd90_SiteId">
    <vt:lpwstr>e5ba7b2a-a780-41a9-92b2-c2ed52d3a12f</vt:lpwstr>
  </property>
  <property fmtid="{D5CDD505-2E9C-101B-9397-08002B2CF9AE}" pid="7" name="MSIP_Label_153bba68-4eb1-45e8-9c75-b7dd7eb6bd90_ActionId">
    <vt:lpwstr>c1249b33-5df7-4084-ad28-e5c1b3ac7cde</vt:lpwstr>
  </property>
  <property fmtid="{D5CDD505-2E9C-101B-9397-08002B2CF9AE}" pid="8" name="MSIP_Label_153bba68-4eb1-45e8-9c75-b7dd7eb6bd90_ContentBits">
    <vt:lpwstr>2</vt:lpwstr>
  </property>
  <property fmtid="{D5CDD505-2E9C-101B-9397-08002B2CF9AE}" pid="9" name="MSIP_Label_153bba68-4eb1-45e8-9c75-b7dd7eb6bd90_Tag">
    <vt:lpwstr>10, 3, 0, 1</vt:lpwstr>
  </property>
</Properties>
</file>